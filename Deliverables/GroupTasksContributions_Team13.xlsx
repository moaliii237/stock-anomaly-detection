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zymon BUAS\Downloads\"/>
    </mc:Choice>
  </mc:AlternateContent>
  <xr:revisionPtr revIDLastSave="0" documentId="13_ncr:1_{A2E6F40D-37CD-4D82-84B3-1FA3F1E7336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" l="1"/>
  <c r="C13" i="1"/>
  <c r="D13" i="1"/>
  <c r="B13" i="1"/>
  <c r="F12" i="1"/>
  <c r="F2" i="1"/>
  <c r="F3" i="1"/>
  <c r="F4" i="1"/>
  <c r="F5" i="1"/>
  <c r="F6" i="1"/>
  <c r="F7" i="1"/>
  <c r="F8" i="1"/>
  <c r="F9" i="1"/>
  <c r="F10" i="1"/>
  <c r="F11" i="1"/>
  <c r="F13" i="1" l="1"/>
</calcChain>
</file>

<file path=xl/sharedStrings.xml><?xml version="1.0" encoding="utf-8"?>
<sst xmlns="http://schemas.openxmlformats.org/spreadsheetml/2006/main" count="18" uniqueCount="18">
  <si>
    <t>Task Name</t>
  </si>
  <si>
    <t>Task 1.2: Databases Creation</t>
  </si>
  <si>
    <t>Task 2.2: AI System Development: Legal Risk Assessment and GDPR Compliance</t>
  </si>
  <si>
    <t>Task 4.3: Machine Learning Model Development for Move Tickers</t>
  </si>
  <si>
    <t>Task 5.1: Setting up and Managing collaborative environments</t>
  </si>
  <si>
    <t>Task 5.2: Developing Modular and Maintainable code</t>
  </si>
  <si>
    <t>Task 5.3: Developing Unit Tests and Professional Documentation</t>
  </si>
  <si>
    <t>Task 5.4: Developing User Friendly Application</t>
  </si>
  <si>
    <t>Task 6.2: Developing the Final Team Proposal for Move Tickers</t>
  </si>
  <si>
    <t>Task 6.3: Final Presentation of the Team Project for Move Tickers</t>
  </si>
  <si>
    <t>Task 3.2: Trello Board</t>
  </si>
  <si>
    <t>Group Total (%)</t>
  </si>
  <si>
    <t xml:space="preserve"> Mohammadali Jaberi (244437)</t>
  </si>
  <si>
    <t>Hristiyan Georgiev (241236)</t>
  </si>
  <si>
    <t>Szymon Chirowski (242621)</t>
  </si>
  <si>
    <t>Aristotelis Protopapas (234062)</t>
  </si>
  <si>
    <t>Brainstorming - Task suggested by a mentor, as it was possibly the  biggest part of the project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</si>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</sst>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-webkit-standard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4F7C256-145D-DA43-ABD0-A7BC6F389C21}" name="Table3" displayName="Table3" ref="A1:F13" totalsRowCount="1" headerRowDxfId="0">
  <autoFilter ref="A1:F12" xr:uid="{B4F7C256-145D-DA43-ABD0-A7BC6F389C21}"/>
  <tableColumns count="6">
    <tableColumn id="1" xr3:uid="{5402B1E8-440B-6648-8908-24316BE69D99}" name="Task Name" totalsRowLabel="GRAND TOTAL"/>
    <tableColumn id="2" xr3:uid="{579F8D7E-FDE4-0346-B87B-0C60F6EF57CA}" name="Hristiyan Georgiev (241236)" totalsRowFunction="sum"/>
    <tableColumn id="3" xr3:uid="{FA382885-A910-8D44-89E4-BBEAD52BFE5C}" name=" Mohammadali Jaberi (244437)" totalsRowFunction="sum"/>
    <tableColumn id="4" xr3:uid="{5533908B-F9B4-4E4F-98DC-6AF210A21867}" name="Szymon Chirowski (242621)" totalsRowFunction="sum"/>
    <tableColumn id="5" xr3:uid="{C46AF9B6-D914-B54C-9367-D3EBCC6D85E0}" name="Aristotelis Protopapas (234062)" totalsRowFunction="sum"/>
    <tableColumn id="7" xr3:uid="{0FB60FD7-E278-AE41-B8F7-E2215A4E02D7}" name="Group Total (%)" totalsRowFunction="sum">
      <calculatedColumnFormula>SUM(B2:E2)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zoomScale="110" zoomScaleNormal="110" workbookViewId="0">
      <selection activeCell="D12" sqref="D12"/>
    </sheetView>
  </sheetViews>
  <sheetFormatPr defaultColWidth="8.85546875" defaultRowHeight="15"/>
  <cols>
    <col min="1" max="1" width="85.140625" bestFit="1" customWidth="1"/>
    <col min="2" max="2" width="30.42578125" bestFit="1" customWidth="1"/>
    <col min="3" max="3" width="33" bestFit="1" customWidth="1"/>
    <col min="4" max="4" width="29.85546875" bestFit="1" customWidth="1"/>
    <col min="5" max="5" width="30.85546875" bestFit="1" customWidth="1"/>
    <col min="6" max="6" width="19.5703125" bestFit="1" customWidth="1"/>
  </cols>
  <sheetData>
    <row r="1" spans="1:6">
      <c r="A1" s="1" t="s">
        <v>0</v>
      </c>
      <c r="B1" s="1" t="s">
        <v>13</v>
      </c>
      <c r="C1" s="1" t="s">
        <v>12</v>
      </c>
      <c r="D1" s="1" t="s">
        <v>14</v>
      </c>
      <c r="E1" s="1" t="s">
        <v>15</v>
      </c>
      <c r="F1" s="2" t="s">
        <v>11</v>
      </c>
    </row>
    <row r="2" spans="1:6">
      <c r="A2" s="3" t="s">
        <v>1</v>
      </c>
      <c r="B2">
        <v>20</v>
      </c>
      <c r="C2">
        <v>5</v>
      </c>
      <c r="D2">
        <v>75</v>
      </c>
      <c r="E2">
        <v>0</v>
      </c>
      <c r="F2">
        <f t="shared" ref="F2:F12" si="0">SUM(B2:E2)</f>
        <v>100</v>
      </c>
    </row>
    <row r="3" spans="1:6">
      <c r="A3" s="3" t="s">
        <v>2</v>
      </c>
      <c r="B3">
        <v>10</v>
      </c>
      <c r="C3">
        <v>20</v>
      </c>
      <c r="D3">
        <v>70</v>
      </c>
      <c r="E3">
        <v>0</v>
      </c>
      <c r="F3">
        <f t="shared" si="0"/>
        <v>100</v>
      </c>
    </row>
    <row r="4" spans="1:6">
      <c r="A4" s="3" t="s">
        <v>10</v>
      </c>
      <c r="B4">
        <v>25</v>
      </c>
      <c r="C4">
        <v>25</v>
      </c>
      <c r="D4">
        <v>50</v>
      </c>
      <c r="E4">
        <v>0</v>
      </c>
      <c r="F4">
        <f t="shared" si="0"/>
        <v>100</v>
      </c>
    </row>
    <row r="5" spans="1:6">
      <c r="A5" s="3" t="s">
        <v>3</v>
      </c>
      <c r="B5">
        <v>33.299999999999997</v>
      </c>
      <c r="C5">
        <v>33.299999999999997</v>
      </c>
      <c r="D5">
        <v>33.299999999999997</v>
      </c>
      <c r="E5">
        <v>0</v>
      </c>
      <c r="F5">
        <f t="shared" si="0"/>
        <v>99.899999999999991</v>
      </c>
    </row>
    <row r="6" spans="1:6">
      <c r="A6" s="3" t="s">
        <v>4</v>
      </c>
      <c r="B6">
        <v>33.299999999999997</v>
      </c>
      <c r="C6">
        <v>33.299999999999997</v>
      </c>
      <c r="D6">
        <v>33.299999999999997</v>
      </c>
      <c r="E6">
        <v>0</v>
      </c>
      <c r="F6">
        <f t="shared" si="0"/>
        <v>99.899999999999991</v>
      </c>
    </row>
    <row r="7" spans="1:6">
      <c r="A7" s="3" t="s">
        <v>5</v>
      </c>
      <c r="B7">
        <v>33.299999999999997</v>
      </c>
      <c r="C7">
        <v>33.299999999999997</v>
      </c>
      <c r="D7">
        <v>33.299999999999997</v>
      </c>
      <c r="E7">
        <v>0</v>
      </c>
      <c r="F7">
        <f t="shared" si="0"/>
        <v>99.899999999999991</v>
      </c>
    </row>
    <row r="8" spans="1:6">
      <c r="A8" s="3" t="s">
        <v>6</v>
      </c>
      <c r="B8">
        <v>30</v>
      </c>
      <c r="C8">
        <v>0</v>
      </c>
      <c r="D8">
        <v>70</v>
      </c>
      <c r="E8">
        <v>0</v>
      </c>
      <c r="F8">
        <f t="shared" si="0"/>
        <v>100</v>
      </c>
    </row>
    <row r="9" spans="1:6">
      <c r="A9" s="3" t="s">
        <v>7</v>
      </c>
      <c r="B9">
        <v>85</v>
      </c>
      <c r="C9">
        <v>10</v>
      </c>
      <c r="D9">
        <v>5</v>
      </c>
      <c r="E9">
        <v>0</v>
      </c>
      <c r="F9">
        <f t="shared" si="0"/>
        <v>100</v>
      </c>
    </row>
    <row r="10" spans="1:6">
      <c r="A10" s="3" t="s">
        <v>8</v>
      </c>
      <c r="B10">
        <v>33.299999999999997</v>
      </c>
      <c r="C10">
        <v>33.299999999999997</v>
      </c>
      <c r="D10">
        <v>33.299999999999997</v>
      </c>
      <c r="E10">
        <v>0</v>
      </c>
      <c r="F10">
        <f t="shared" si="0"/>
        <v>99.899999999999991</v>
      </c>
    </row>
    <row r="11" spans="1:6">
      <c r="A11" s="3" t="s">
        <v>9</v>
      </c>
      <c r="B11">
        <v>5</v>
      </c>
      <c r="C11">
        <v>90</v>
      </c>
      <c r="D11">
        <v>5</v>
      </c>
      <c r="E11">
        <v>0</v>
      </c>
      <c r="F11">
        <f t="shared" si="0"/>
        <v>100</v>
      </c>
    </row>
    <row r="12" spans="1:6">
      <c r="A12" t="s">
        <v>16</v>
      </c>
      <c r="B12">
        <v>42</v>
      </c>
      <c r="C12">
        <v>33</v>
      </c>
      <c r="D12">
        <v>25</v>
      </c>
      <c r="E12">
        <v>0</v>
      </c>
      <c r="F12">
        <f t="shared" si="0"/>
        <v>100</v>
      </c>
    </row>
    <row r="13" spans="1:6">
      <c r="A13" t="s">
        <v>17</v>
      </c>
      <c r="B13">
        <f>SUBTOTAL(109,Table3[Hristiyan Georgiev (241236)])</f>
        <v>350.2</v>
      </c>
      <c r="C13">
        <f>SUBTOTAL(109,Table3[ Mohammadali Jaberi (244437)])</f>
        <v>316.2</v>
      </c>
      <c r="D13">
        <f>SUBTOTAL(109,Table3[Szymon Chirowski (242621)])</f>
        <v>433.20000000000005</v>
      </c>
      <c r="E13">
        <f>SUBTOTAL(109,Table3[Aristotelis Protopapas (234062)])</f>
        <v>0</v>
      </c>
      <c r="F13">
        <f>SUBTOTAL(109,Table3[Group Total (%)])</f>
        <v>1099.5999999999999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Chirowski, Szymon (242621)</cp:lastModifiedBy>
  <dcterms:created xsi:type="dcterms:W3CDTF">2025-04-11T08:12:01Z</dcterms:created>
  <dcterms:modified xsi:type="dcterms:W3CDTF">2025-06-19T11:11:18Z</dcterms:modified>
</cp:coreProperties>
</file>